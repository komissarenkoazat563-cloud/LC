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Project Plan" sheetId="2" r:id="rId5"/>
    <sheet state="visible" name="Example" sheetId="3" r:id="rId6"/>
  </sheets>
  <definedNames/>
  <calcPr/>
</workbook>
</file>

<file path=xl/sharedStrings.xml><?xml version="1.0" encoding="utf-8"?>
<sst xmlns="http://schemas.openxmlformats.org/spreadsheetml/2006/main" count="135" uniqueCount="85">
  <si>
    <t>Migration Project Plan Template</t>
  </si>
  <si>
    <t>How to use this file</t>
  </si>
  <si>
    <t>• Use this plan to track your shopping cart migration from preparation through go-live.</t>
  </si>
  <si>
    <t>• Start with a Demo Migration so your timeline is based on evidence, not assumptions.</t>
  </si>
  <si>
    <t>• Keep tasks outcome-focused.</t>
  </si>
  <si>
    <t>• Use Status to manage readiness and unblock dependencies quickly.</t>
  </si>
  <si>
    <t>• Add links in Evidence Link to screenshots, review notes, or sign-off records.</t>
  </si>
  <si>
    <t>Example</t>
  </si>
  <si>
    <t>The Example tab shows a realistic sequence for a Demo Migration, full migration, validation, Recent Data Migration, and go-live.</t>
  </si>
  <si>
    <t>Workstream</t>
  </si>
  <si>
    <t>Task ID</t>
  </si>
  <si>
    <t>Task Name</t>
  </si>
  <si>
    <t>In-charge</t>
  </si>
  <si>
    <t>Dependencies</t>
  </si>
  <si>
    <t>Start Date</t>
  </si>
  <si>
    <t>End Date</t>
  </si>
  <si>
    <t>Duration (days)</t>
  </si>
  <si>
    <t>Status</t>
  </si>
  <si>
    <t>Milestone</t>
  </si>
  <si>
    <t>Evidence Link</t>
  </si>
  <si>
    <t>Notes</t>
  </si>
  <si>
    <t>Owner</t>
  </si>
  <si>
    <t>Discovery</t>
  </si>
  <si>
    <t>D-01</t>
  </si>
  <si>
    <t>Confirm source and target platforms, access, and constraints</t>
  </si>
  <si>
    <t>Project Lead</t>
  </si>
  <si>
    <t>2026-01-10</t>
  </si>
  <si>
    <t>2026-01-12</t>
  </si>
  <si>
    <t>Completed</t>
  </si>
  <si>
    <t>Focus on data migration scope and risk.</t>
  </si>
  <si>
    <t>D-02</t>
  </si>
  <si>
    <t>Inventory integrations and data dependencies (apps, modules, custom fields)</t>
  </si>
  <si>
    <t>Tech Lead</t>
  </si>
  <si>
    <t>2026-01-14</t>
  </si>
  <si>
    <t>In Progress</t>
  </si>
  <si>
    <t>Proof</t>
  </si>
  <si>
    <t>P-01</t>
  </si>
  <si>
    <t>Run Demo Migration on complex products and top categories</t>
  </si>
  <si>
    <t>Next-Cart, Ops Lead</t>
  </si>
  <si>
    <t>2026-01-15</t>
  </si>
  <si>
    <t>Not Started</t>
  </si>
  <si>
    <t>Use best sellers and highest variant complexity.</t>
  </si>
  <si>
    <t>Review</t>
  </si>
  <si>
    <t>R-01</t>
  </si>
  <si>
    <t>Review demo results and confirm mapping decisions</t>
  </si>
  <si>
    <t>2026-01-16</t>
  </si>
  <si>
    <t>Demo Review Sign-off</t>
  </si>
  <si>
    <t>Scope</t>
  </si>
  <si>
    <t>S-01</t>
  </si>
  <si>
    <t>Confirm Entity Points and select service model (Standard, Managed, Custom)</t>
  </si>
  <si>
    <t>2026-01-17</t>
  </si>
  <si>
    <t>Build</t>
  </si>
  <si>
    <t>B-01</t>
  </si>
  <si>
    <t>Prepare target store environment for receiving full data</t>
  </si>
  <si>
    <t>2026-01-20</t>
  </si>
  <si>
    <t>Migration</t>
  </si>
  <si>
    <t>M-01</t>
  </si>
  <si>
    <t>Run full migration</t>
  </si>
  <si>
    <t>2026-01-21</t>
  </si>
  <si>
    <t>Full Migration Complete</t>
  </si>
  <si>
    <t>QA</t>
  </si>
  <si>
    <t>Q-01</t>
  </si>
  <si>
    <t>Validate products, variants, navigation, customers, and orders</t>
  </si>
  <si>
    <t>QA Lead</t>
  </si>
  <si>
    <t>2026-01-22</t>
  </si>
  <si>
    <t>2026-01-26</t>
  </si>
  <si>
    <t>QA Sign-off</t>
  </si>
  <si>
    <t>SEO</t>
  </si>
  <si>
    <t>SEO-01</t>
  </si>
  <si>
    <t>Finalize redirect plan for priority URLs</t>
  </si>
  <si>
    <t>SEO Lead</t>
  </si>
  <si>
    <t>2026-01-24</t>
  </si>
  <si>
    <t>Launch</t>
  </si>
  <si>
    <t>L-01</t>
  </si>
  <si>
    <t>Run Recent Data Migration close to cutover</t>
  </si>
  <si>
    <t>Ops Lead</t>
  </si>
  <si>
    <t>2026-01-27</t>
  </si>
  <si>
    <t>Final Sync Complete</t>
  </si>
  <si>
    <t>L-02</t>
  </si>
  <si>
    <t>Go-live cutover and smoke test</t>
  </si>
  <si>
    <t>Go-live</t>
  </si>
  <si>
    <t>Monitor</t>
  </si>
  <si>
    <t>MON-01</t>
  </si>
  <si>
    <t>Monitor first 72 hours and log issues</t>
  </si>
  <si>
    <t>2026-01-30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</si>
</sst>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  <font>
      <color rgb="FF000000"/>
      <name val="Calibri"/>
      <scheme val="minor"/>
    </font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Project Plan-style">
      <tableStyleElement dxfId="1" type="headerRow"/>
      <tableStyleElement dxfId="2" type="firstRowStripe"/>
      <tableStyleElement dxfId="3" type="secondRowStripe"/>
    </tableStyle>
    <tableStyle count="3" pivot="0" name="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50" displayName="Table_1" name="Table_1" id="1">
  <tableColumns count="12">
    <tableColumn name="Workstream" id="1"/>
    <tableColumn name="Task ID" id="2"/>
    <tableColumn name="Task Name" id="3"/>
    <tableColumn name="In-charge" id="4"/>
    <tableColumn name="Dependencies" id="5"/>
    <tableColumn name="Start Date" id="6"/>
    <tableColumn name="End Date" id="7"/>
    <tableColumn name="Duration (days)" id="8"/>
    <tableColumn name="Status" id="9"/>
    <tableColumn name="Milestone" id="10"/>
    <tableColumn name="Evidence Link" id="11"/>
    <tableColumn name="Notes" id="12"/>
  </tableColumns>
  <tableStyleInfo name="Project Plan-style" showColumnStripes="0" showFirstColumn="1" showLastColumn="1" showRowStripes="1"/>
</table>
</file>

<file path=xl/tables/table2.xml><?xml version="1.0" encoding="utf-8"?>
<table xmlns="http://schemas.openxmlformats.org/spreadsheetml/2006/main" ref="A1:L50" displayName="Table_2" name="Table_2" id="2">
  <tableColumns count="12">
    <tableColumn name="Workstream" id="1"/>
    <tableColumn name="Task ID" id="2"/>
    <tableColumn name="Task Name" id="3"/>
    <tableColumn name="Owner" id="4"/>
    <tableColumn name="Dependencies" id="5"/>
    <tableColumn name="Start Date" id="6"/>
    <tableColumn name="End Date" id="7"/>
    <tableColumn name="Duration (days)" id="8"/>
    <tableColumn name="Status" id="9"/>
    <tableColumn name="Milestone" id="10"/>
    <tableColumn name="Evidence Link" id="11"/>
    <tableColumn name="Notes" id="12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4.0" customHeight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 t="s">
        <v>3</v>
      </c>
    </row>
    <row r="6">
      <c r="A6" s="5" t="s">
        <v>4</v>
      </c>
    </row>
    <row r="7">
      <c r="A7" s="4" t="s">
        <v>5</v>
      </c>
    </row>
    <row r="8">
      <c r="A8" s="4" t="s">
        <v>6</v>
      </c>
    </row>
    <row r="9">
      <c r="A9" s="2"/>
    </row>
    <row r="10">
      <c r="A10" s="3" t="s">
        <v>7</v>
      </c>
    </row>
    <row r="11">
      <c r="A11" s="4" t="s">
        <v>8</v>
      </c>
    </row>
    <row r="12">
      <c r="A12" s="2"/>
    </row>
    <row r="13">
      <c r="A13" s="2"/>
    </row>
    <row r="14">
      <c r="A14" s="2"/>
    </row>
    <row r="15" ht="15.75" customHeight="1">
      <c r="A1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3" width="12.0"/>
    <col customWidth="1" min="4" max="4" width="22.0"/>
    <col customWidth="1" min="5" max="5" width="19.71"/>
    <col customWidth="1" min="6" max="7" width="12.0"/>
    <col customWidth="1" min="8" max="8" width="17.0"/>
    <col customWidth="1" min="9" max="9" width="19.0"/>
    <col customWidth="1" min="10" max="10" width="12.0"/>
    <col customWidth="1" min="11" max="11" width="15.0"/>
    <col customWidth="1" min="12" max="12" width="12.0"/>
  </cols>
  <sheetData>
    <row r="1">
      <c r="A1" s="6" t="s">
        <v>9</v>
      </c>
      <c r="B1" s="6" t="s">
        <v>10</v>
      </c>
      <c r="C1" s="6" t="s">
        <v>11</v>
      </c>
      <c r="D1" s="7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8"/>
      <c r="B4" s="9"/>
      <c r="C4" s="9"/>
      <c r="D4" s="10"/>
      <c r="E4" s="9"/>
      <c r="F4" s="9"/>
      <c r="G4" s="9"/>
      <c r="H4" s="9"/>
      <c r="I4" s="9"/>
      <c r="J4" s="9"/>
      <c r="K4" s="9"/>
      <c r="L4" s="9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8"/>
      <c r="B8" s="9"/>
      <c r="C8" s="9"/>
      <c r="D8" s="10"/>
      <c r="E8" s="9"/>
      <c r="F8" s="9"/>
      <c r="G8" s="9"/>
      <c r="H8" s="9"/>
      <c r="I8" s="9"/>
      <c r="J8" s="9"/>
      <c r="K8" s="9"/>
      <c r="L8" s="9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8"/>
      <c r="B11" s="9"/>
      <c r="C11" s="9"/>
      <c r="D11" s="10"/>
      <c r="E11" s="9"/>
      <c r="F11" s="9"/>
      <c r="G11" s="9"/>
      <c r="H11" s="9"/>
      <c r="I11" s="9"/>
      <c r="J11" s="9"/>
      <c r="K11" s="9"/>
      <c r="L11" s="9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2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2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2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2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2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2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2"/>
      <c r="J20" s="9"/>
      <c r="K20" s="9"/>
      <c r="L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2"/>
      <c r="J21" s="9"/>
      <c r="K21" s="9"/>
      <c r="L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2"/>
      <c r="J22" s="9"/>
      <c r="K22" s="9"/>
      <c r="L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2"/>
      <c r="J23" s="9"/>
      <c r="K23" s="9"/>
      <c r="L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2"/>
      <c r="J24" s="9"/>
      <c r="K24" s="9"/>
      <c r="L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2"/>
      <c r="J25" s="9"/>
      <c r="K25" s="9"/>
      <c r="L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2"/>
      <c r="J26" s="9"/>
      <c r="K26" s="9"/>
      <c r="L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2"/>
      <c r="J27" s="9"/>
      <c r="K27" s="9"/>
      <c r="L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2"/>
      <c r="J28" s="9"/>
      <c r="K28" s="9"/>
      <c r="L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2"/>
      <c r="J29" s="9"/>
      <c r="K29" s="9"/>
      <c r="L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2"/>
      <c r="J30" s="9"/>
      <c r="K30" s="9"/>
      <c r="L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2"/>
      <c r="J31" s="9"/>
      <c r="K31" s="9"/>
      <c r="L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2"/>
      <c r="J32" s="9"/>
      <c r="K32" s="9"/>
      <c r="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2"/>
      <c r="J33" s="9"/>
      <c r="K33" s="9"/>
      <c r="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2"/>
      <c r="J34" s="9"/>
      <c r="K34" s="9"/>
      <c r="L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2"/>
      <c r="J35" s="9"/>
      <c r="K35" s="9"/>
      <c r="L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2"/>
      <c r="J36" s="9"/>
      <c r="K36" s="9"/>
      <c r="L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2"/>
      <c r="J37" s="9"/>
      <c r="K37" s="9"/>
      <c r="L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2"/>
      <c r="J38" s="9"/>
      <c r="K38" s="9"/>
      <c r="L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2"/>
      <c r="J39" s="9"/>
      <c r="K39" s="9"/>
      <c r="L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2"/>
      <c r="J40" s="9"/>
      <c r="K40" s="9"/>
      <c r="L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2"/>
      <c r="J41" s="9"/>
      <c r="K41" s="9"/>
      <c r="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2"/>
      <c r="J42" s="9"/>
      <c r="K42" s="9"/>
      <c r="L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2"/>
      <c r="J43" s="9"/>
      <c r="K43" s="9"/>
      <c r="L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2"/>
      <c r="J44" s="9"/>
      <c r="K44" s="9"/>
      <c r="L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2"/>
      <c r="J45" s="9"/>
      <c r="K45" s="9"/>
      <c r="L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2"/>
      <c r="J46" s="9"/>
      <c r="K46" s="9"/>
      <c r="L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2"/>
      <c r="J47" s="9"/>
      <c r="K47" s="9"/>
      <c r="L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2"/>
      <c r="J48" s="9"/>
      <c r="K48" s="9"/>
      <c r="L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2"/>
      <c r="J49" s="9"/>
      <c r="K49" s="9"/>
      <c r="L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2"/>
      <c r="J50" s="9"/>
      <c r="K50" s="9"/>
      <c r="L50" s="9"/>
    </row>
  </sheetData>
  <dataValidations>
    <dataValidation type="list" allowBlank="1" showErrorMessage="1" sqref="D2:D13">
      <formula1>"Project Lead,Sponsor,Tech Lead,QA Lead,SEO Lead,Ops Lead,Data Lead,Marketing Lead,Next-Cart,Developer,Customer Support"</formula1>
    </dataValidation>
    <dataValidation type="list" allowBlank="1" showErrorMessage="1" sqref="A2:A13">
      <formula1>"Discovery,Proof,Review,Scope,Build,Migration,QA,SEO,Launch,Monitor,Operations,Integrations,Content"</formula1>
    </dataValidation>
    <dataValidation type="list" allowBlank="1" showErrorMessage="1" sqref="I2:I13">
      <formula1>"Not Started,In Progress,Need Review,Completed,Cancelled,On Hold"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2.0"/>
    <col customWidth="1" min="3" max="3" width="55.0"/>
    <col customWidth="1" min="4" max="4" width="24.43"/>
    <col customWidth="1" min="5" max="5" width="18.43"/>
    <col customWidth="1" min="6" max="7" width="12.0"/>
    <col customWidth="1" min="8" max="8" width="18.29"/>
    <col customWidth="1" min="9" max="9" width="19.0"/>
    <col customWidth="1" min="10" max="10" width="25.0"/>
    <col customWidth="1" min="11" max="11" width="15.0"/>
    <col customWidth="1" min="12" max="12" width="50.0"/>
  </cols>
  <sheetData>
    <row r="1">
      <c r="A1" s="6" t="s">
        <v>9</v>
      </c>
      <c r="B1" s="6" t="s">
        <v>10</v>
      </c>
      <c r="C1" s="6" t="s">
        <v>11</v>
      </c>
      <c r="D1" s="6" t="s">
        <v>21</v>
      </c>
      <c r="E1" s="6" t="s">
        <v>13</v>
      </c>
      <c r="F1" s="6" t="s">
        <v>14</v>
      </c>
      <c r="G1" s="6" t="s">
        <v>15</v>
      </c>
      <c r="H1" s="6" t="s">
        <v>16</v>
      </c>
      <c r="I1" s="11" t="s">
        <v>17</v>
      </c>
      <c r="J1" s="6" t="s">
        <v>18</v>
      </c>
      <c r="K1" s="6" t="s">
        <v>19</v>
      </c>
      <c r="L1" s="6" t="s">
        <v>20</v>
      </c>
    </row>
    <row r="2">
      <c r="A2" s="8" t="s">
        <v>22</v>
      </c>
      <c r="B2" s="9" t="s">
        <v>23</v>
      </c>
      <c r="C2" s="9" t="s">
        <v>24</v>
      </c>
      <c r="D2" s="9" t="s">
        <v>25</v>
      </c>
      <c r="E2" s="9"/>
      <c r="F2" s="9" t="s">
        <v>26</v>
      </c>
      <c r="G2" s="9" t="s">
        <v>27</v>
      </c>
      <c r="H2" s="9">
        <f t="shared" ref="H2:H13" si="1">IF(AND(F2&lt;&gt;"",G2&lt;&gt;""),G2-F2+1,"")</f>
        <v>3</v>
      </c>
      <c r="I2" s="12" t="s">
        <v>28</v>
      </c>
      <c r="J2" s="9"/>
      <c r="K2" s="9"/>
      <c r="L2" s="9" t="s">
        <v>29</v>
      </c>
    </row>
    <row r="3">
      <c r="A3" s="8" t="s">
        <v>22</v>
      </c>
      <c r="B3" s="9" t="s">
        <v>30</v>
      </c>
      <c r="C3" s="9" t="s">
        <v>31</v>
      </c>
      <c r="D3" s="9" t="s">
        <v>32</v>
      </c>
      <c r="E3" s="9" t="s">
        <v>23</v>
      </c>
      <c r="F3" s="9" t="s">
        <v>27</v>
      </c>
      <c r="G3" s="9" t="s">
        <v>33</v>
      </c>
      <c r="H3" s="9">
        <f t="shared" si="1"/>
        <v>3</v>
      </c>
      <c r="I3" s="12" t="s">
        <v>34</v>
      </c>
      <c r="J3" s="9"/>
      <c r="K3" s="9"/>
      <c r="L3" s="9"/>
    </row>
    <row r="4">
      <c r="A4" s="8" t="s">
        <v>35</v>
      </c>
      <c r="B4" s="9" t="s">
        <v>36</v>
      </c>
      <c r="C4" s="9" t="s">
        <v>37</v>
      </c>
      <c r="D4" s="10" t="s">
        <v>38</v>
      </c>
      <c r="E4" s="9" t="s">
        <v>30</v>
      </c>
      <c r="F4" s="9" t="s">
        <v>39</v>
      </c>
      <c r="G4" s="9" t="s">
        <v>39</v>
      </c>
      <c r="H4" s="9">
        <f t="shared" si="1"/>
        <v>1</v>
      </c>
      <c r="I4" s="12" t="s">
        <v>40</v>
      </c>
      <c r="J4" s="9"/>
      <c r="K4" s="9"/>
      <c r="L4" s="9" t="s">
        <v>41</v>
      </c>
    </row>
    <row r="5">
      <c r="A5" s="8" t="s">
        <v>42</v>
      </c>
      <c r="B5" s="9" t="s">
        <v>43</v>
      </c>
      <c r="C5" s="9" t="s">
        <v>44</v>
      </c>
      <c r="D5" s="9" t="s">
        <v>25</v>
      </c>
      <c r="E5" s="9" t="s">
        <v>36</v>
      </c>
      <c r="F5" s="9" t="s">
        <v>45</v>
      </c>
      <c r="G5" s="9" t="s">
        <v>45</v>
      </c>
      <c r="H5" s="9">
        <f t="shared" si="1"/>
        <v>1</v>
      </c>
      <c r="I5" s="12" t="s">
        <v>40</v>
      </c>
      <c r="J5" s="9" t="s">
        <v>46</v>
      </c>
      <c r="K5" s="9"/>
      <c r="L5" s="9"/>
    </row>
    <row r="6">
      <c r="A6" s="8" t="s">
        <v>47</v>
      </c>
      <c r="B6" s="9" t="s">
        <v>48</v>
      </c>
      <c r="C6" s="9" t="s">
        <v>49</v>
      </c>
      <c r="D6" s="9" t="s">
        <v>25</v>
      </c>
      <c r="E6" s="9" t="s">
        <v>43</v>
      </c>
      <c r="F6" s="9" t="s">
        <v>45</v>
      </c>
      <c r="G6" s="9" t="s">
        <v>50</v>
      </c>
      <c r="H6" s="9">
        <f t="shared" si="1"/>
        <v>2</v>
      </c>
      <c r="I6" s="12" t="s">
        <v>40</v>
      </c>
      <c r="J6" s="9"/>
      <c r="K6" s="9"/>
      <c r="L6" s="9"/>
    </row>
    <row r="7">
      <c r="A7" s="8" t="s">
        <v>51</v>
      </c>
      <c r="B7" s="9" t="s">
        <v>52</v>
      </c>
      <c r="C7" s="9" t="s">
        <v>53</v>
      </c>
      <c r="D7" s="9" t="s">
        <v>32</v>
      </c>
      <c r="E7" s="9" t="s">
        <v>48</v>
      </c>
      <c r="F7" s="9" t="s">
        <v>50</v>
      </c>
      <c r="G7" s="9" t="s">
        <v>54</v>
      </c>
      <c r="H7" s="9">
        <f t="shared" si="1"/>
        <v>4</v>
      </c>
      <c r="I7" s="12" t="s">
        <v>40</v>
      </c>
      <c r="J7" s="9"/>
      <c r="K7" s="9"/>
      <c r="L7" s="9"/>
    </row>
    <row r="8">
      <c r="A8" s="8" t="s">
        <v>55</v>
      </c>
      <c r="B8" s="9" t="s">
        <v>56</v>
      </c>
      <c r="C8" s="9" t="s">
        <v>57</v>
      </c>
      <c r="D8" s="10" t="s">
        <v>38</v>
      </c>
      <c r="E8" s="9" t="s">
        <v>52</v>
      </c>
      <c r="F8" s="9" t="s">
        <v>58</v>
      </c>
      <c r="G8" s="9" t="s">
        <v>58</v>
      </c>
      <c r="H8" s="9">
        <f t="shared" si="1"/>
        <v>1</v>
      </c>
      <c r="I8" s="12" t="s">
        <v>40</v>
      </c>
      <c r="J8" s="9" t="s">
        <v>59</v>
      </c>
      <c r="K8" s="9"/>
      <c r="L8" s="9"/>
    </row>
    <row r="9">
      <c r="A9" s="8" t="s">
        <v>60</v>
      </c>
      <c r="B9" s="9" t="s">
        <v>61</v>
      </c>
      <c r="C9" s="9" t="s">
        <v>62</v>
      </c>
      <c r="D9" s="9" t="s">
        <v>63</v>
      </c>
      <c r="E9" s="9" t="s">
        <v>56</v>
      </c>
      <c r="F9" s="9" t="s">
        <v>64</v>
      </c>
      <c r="G9" s="9" t="s">
        <v>65</v>
      </c>
      <c r="H9" s="9">
        <f t="shared" si="1"/>
        <v>5</v>
      </c>
      <c r="I9" s="12" t="s">
        <v>40</v>
      </c>
      <c r="J9" s="9" t="s">
        <v>66</v>
      </c>
      <c r="K9" s="9"/>
      <c r="L9" s="9"/>
    </row>
    <row r="10">
      <c r="A10" s="8" t="s">
        <v>67</v>
      </c>
      <c r="B10" s="9" t="s">
        <v>68</v>
      </c>
      <c r="C10" s="9" t="s">
        <v>69</v>
      </c>
      <c r="D10" s="9" t="s">
        <v>70</v>
      </c>
      <c r="E10" s="9" t="s">
        <v>56</v>
      </c>
      <c r="F10" s="9" t="s">
        <v>64</v>
      </c>
      <c r="G10" s="9" t="s">
        <v>71</v>
      </c>
      <c r="H10" s="9">
        <f t="shared" si="1"/>
        <v>3</v>
      </c>
      <c r="I10" s="12" t="s">
        <v>40</v>
      </c>
      <c r="J10" s="9"/>
      <c r="K10" s="9"/>
      <c r="L10" s="9"/>
    </row>
    <row r="11">
      <c r="A11" s="8" t="s">
        <v>72</v>
      </c>
      <c r="B11" s="9" t="s">
        <v>73</v>
      </c>
      <c r="C11" s="9" t="s">
        <v>74</v>
      </c>
      <c r="D11" s="10" t="s">
        <v>75</v>
      </c>
      <c r="E11" s="9" t="s">
        <v>61</v>
      </c>
      <c r="F11" s="9" t="s">
        <v>76</v>
      </c>
      <c r="G11" s="9" t="s">
        <v>76</v>
      </c>
      <c r="H11" s="9">
        <f t="shared" si="1"/>
        <v>1</v>
      </c>
      <c r="I11" s="12" t="s">
        <v>40</v>
      </c>
      <c r="J11" s="9" t="s">
        <v>77</v>
      </c>
      <c r="K11" s="9"/>
      <c r="L11" s="9"/>
    </row>
    <row r="12">
      <c r="A12" s="8" t="s">
        <v>72</v>
      </c>
      <c r="B12" s="9" t="s">
        <v>78</v>
      </c>
      <c r="C12" s="9" t="s">
        <v>79</v>
      </c>
      <c r="D12" s="9" t="s">
        <v>25</v>
      </c>
      <c r="E12" s="9" t="s">
        <v>73</v>
      </c>
      <c r="F12" s="9" t="s">
        <v>76</v>
      </c>
      <c r="G12" s="9" t="s">
        <v>76</v>
      </c>
      <c r="H12" s="9">
        <f t="shared" si="1"/>
        <v>1</v>
      </c>
      <c r="I12" s="12" t="s">
        <v>40</v>
      </c>
      <c r="J12" s="9" t="s">
        <v>80</v>
      </c>
      <c r="K12" s="9"/>
      <c r="L12" s="9"/>
    </row>
    <row r="13">
      <c r="A13" s="8" t="s">
        <v>81</v>
      </c>
      <c r="B13" s="9" t="s">
        <v>82</v>
      </c>
      <c r="C13" s="9" t="s">
        <v>83</v>
      </c>
      <c r="D13" s="9" t="s">
        <v>75</v>
      </c>
      <c r="E13" s="9" t="s">
        <v>78</v>
      </c>
      <c r="F13" s="9" t="s">
        <v>76</v>
      </c>
      <c r="G13" s="9" t="s">
        <v>84</v>
      </c>
      <c r="H13" s="9">
        <f t="shared" si="1"/>
        <v>4</v>
      </c>
      <c r="I13" s="12" t="s">
        <v>40</v>
      </c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13"/>
      <c r="J26" s="9"/>
      <c r="K26" s="9"/>
      <c r="L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14"/>
      <c r="J27" s="9"/>
      <c r="K27" s="9"/>
      <c r="L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13"/>
      <c r="J28" s="9"/>
      <c r="K28" s="9"/>
      <c r="L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14"/>
      <c r="J29" s="9"/>
      <c r="K29" s="9"/>
      <c r="L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13"/>
      <c r="J30" s="9"/>
      <c r="K30" s="9"/>
      <c r="L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14"/>
      <c r="J31" s="9"/>
      <c r="K31" s="9"/>
      <c r="L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13"/>
      <c r="J32" s="9"/>
      <c r="K32" s="9"/>
      <c r="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14"/>
      <c r="J33" s="9"/>
      <c r="K33" s="9"/>
      <c r="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13"/>
      <c r="J34" s="9"/>
      <c r="K34" s="9"/>
      <c r="L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14"/>
      <c r="J35" s="9"/>
      <c r="K35" s="9"/>
      <c r="L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13"/>
      <c r="J36" s="9"/>
      <c r="K36" s="9"/>
      <c r="L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14"/>
      <c r="J37" s="9"/>
      <c r="K37" s="9"/>
      <c r="L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13"/>
      <c r="J38" s="9"/>
      <c r="K38" s="9"/>
      <c r="L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14"/>
      <c r="J39" s="9"/>
      <c r="K39" s="9"/>
      <c r="L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3"/>
      <c r="J40" s="9"/>
      <c r="K40" s="9"/>
      <c r="L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14"/>
      <c r="J41" s="9"/>
      <c r="K41" s="9"/>
      <c r="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13"/>
      <c r="J42" s="9"/>
      <c r="K42" s="9"/>
      <c r="L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14"/>
      <c r="J43" s="9"/>
      <c r="K43" s="9"/>
      <c r="L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13"/>
      <c r="J44" s="9"/>
      <c r="K44" s="9"/>
      <c r="L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14"/>
      <c r="J45" s="9"/>
      <c r="K45" s="9"/>
      <c r="L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13"/>
      <c r="J46" s="9"/>
      <c r="K46" s="9"/>
      <c r="L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14"/>
      <c r="J47" s="9"/>
      <c r="K47" s="9"/>
      <c r="L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3"/>
      <c r="J48" s="9"/>
      <c r="K48" s="9"/>
      <c r="L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14"/>
      <c r="J49" s="9"/>
      <c r="K49" s="9"/>
      <c r="L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13"/>
      <c r="J50" s="9"/>
      <c r="K50" s="9"/>
      <c r="L50" s="9"/>
    </row>
  </sheetData>
  <dataValidations>
    <dataValidation type="list" allowBlank="1" showErrorMessage="1" sqref="D2:D13">
      <formula1>"Project Lead,Sponsor,Tech Lead,QA Lead,SEO Lead,Ops Lead,Data Lead,Marketing Lead,Next-Cart,Developer,Customer Support"</formula1>
    </dataValidation>
    <dataValidation type="list" allowBlank="1" showErrorMessage="1" sqref="A2:A13">
      <formula1>"Discovery,Proof,Review,Scope,Build,Migration,QA,SEO,Launch,Monitor,Operations,Integrations,Content"</formula1>
    </dataValidation>
    <dataValidation type="list" allowBlank="1" showErrorMessage="1" sqref="I2:I13">
      <formula1>"Not Started,In Progress,Need Review,Completed,Cancelled,On Hold"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